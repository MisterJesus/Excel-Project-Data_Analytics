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2_Formulas_Functions\"/>
    </mc:Choice>
  </mc:AlternateContent>
  <xr:revisionPtr revIDLastSave="0" documentId="13_ncr:1_{D1A2DB98-3744-4C69-9CAB-CF6A1588750D}" xr6:coauthVersionLast="47" xr6:coauthVersionMax="47" xr10:uidLastSave="{00000000-0000-0000-0000-000000000000}"/>
  <bookViews>
    <workbookView xWindow="-110" yWindow="-110" windowWidth="25820" windowHeight="139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0" l="1" a="1"/>
  <c r="R2" i="10"/>
  <c r="R3" i="10" a="1"/>
  <c r="R3" i="10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/>
  <c r="R10" i="10" a="1"/>
  <c r="R10" i="10" s="1"/>
  <c r="R11" i="10" a="1"/>
  <c r="R11" i="10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/>
  <c r="R18" i="10" a="1"/>
  <c r="R18" i="10" s="1"/>
  <c r="R19" i="10" a="1"/>
  <c r="R19" i="10"/>
  <c r="R20" i="10" a="1"/>
  <c r="R20" i="10" s="1"/>
  <c r="R21" i="10" a="1"/>
  <c r="R21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18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<sst xmlns="http://schemas.openxmlformats.org/spreadsheetml/2006/main" count="395" uniqueCount="144">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</sst>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13" sqref="Q13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U17" sqref="U17"/>
    </sheetView>
  </sheetViews>
  <sheetFormatPr defaultRowHeight="14.5" x14ac:dyDescent="0.35"/>
  <cols>
    <col min="1" max="1" width="16.81640625" bestFit="1" customWidth="1"/>
    <col min="2" max="2" width="19.179687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0.90625" hidden="1" customWidth="1"/>
    <col min="12" max="12" width="14.26953125" hidden="1" customWidth="1"/>
    <col min="13" max="13" width="11" hidden="1" customWidth="1"/>
    <col min="14" max="14" width="6.54296875" hidden="1" customWidth="1"/>
    <col min="15" max="15" width="5.81640625" hidden="1" customWidth="1"/>
    <col min="16" max="16" width="11" bestFit="1" customWidth="1"/>
    <col min="17" max="17" width="11.36328125" bestFit="1" customWidth="1"/>
    <col min="18" max="18" width="10.36328125" bestFit="1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_xlfn.IFS($H2="", "No Data", $H2&gt;$Q$1, "Salary &gt; 85k", TRUE, "Salary Low")</f>
        <v>Salary &gt; 85k</v>
      </c>
    </row>
    <row r="3" spans="1:18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"Role Desired", "Not Desired")</f>
        <v>Role Desired</v>
      </c>
      <c r="L3" t="str">
        <f t="shared" si="0"/>
        <v>Not Desired</v>
      </c>
      <c r="M3" t="str">
        <f t="shared" ref="M3:M21" si="1">IF($A3=K$1, "Role Desired", IF($A3=L$1, "Role Desired", "Not Desired"))</f>
        <v>Role Desired</v>
      </c>
      <c r="N3" t="b">
        <f t="shared" ref="N3:N21" si="2">AND($A3=$K$1, $A3=$L$1)</f>
        <v>0</v>
      </c>
      <c r="O3" t="b">
        <f t="shared" ref="O3:O21" si="3">OR($A3=$K$1, $A3=$L$1)</f>
        <v>1</v>
      </c>
      <c r="P3" t="str">
        <f t="shared" ref="P3:P21" si="4">IF(OR($A3=$K$1, $A3=$L$1), "Role Desired", "Not Desired")</f>
        <v>Role Desired</v>
      </c>
      <c r="Q3" t="str">
        <f t="shared" ref="Q3:Q21" si="5">IF($H3&gt;$Q$1, "Salary &gt; 85k", "Salary Low")</f>
        <v>Salary Low</v>
      </c>
      <c r="R3" t="str" cm="1">
        <f t="array" ref="R3">_xlfn.IFS($H3="", "No Data", $H3&gt;$Q$1, "Salary &gt; 85k", TRUE, "Salary Low")</f>
        <v>Salary Low</v>
      </c>
    </row>
    <row r="4" spans="1:18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 $H4&gt;$Q$1, "Salary &gt; 85k", TRUE, "Salary Low")</f>
        <v>No Data</v>
      </c>
    </row>
    <row r="5" spans="1:18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 $H5&gt;$Q$1, "Salary &gt; 85k", TRUE, "Salary Low")</f>
        <v>No Data</v>
      </c>
    </row>
    <row r="6" spans="1:18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 $H6&gt;$Q$1, "Salary &gt; 85k", TRUE, "Salary Low")</f>
        <v>No Data</v>
      </c>
    </row>
    <row r="7" spans="1:18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 $H7&gt;$Q$1, "Salary &gt; 85k", TRUE, "Salary Low")</f>
        <v>No Data</v>
      </c>
    </row>
    <row r="8" spans="1:18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 $H8&gt;$Q$1, "Salary &gt; 85k", TRUE, "Salary Low")</f>
        <v>No Data</v>
      </c>
    </row>
    <row r="9" spans="1:18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 85k</v>
      </c>
      <c r="R9" t="str" cm="1">
        <f t="array" ref="R9">_xlfn.IFS($H9="", "No Data", $H9&gt;$Q$1, "Salary &gt; 85k", TRUE, "Salary Low")</f>
        <v>Salary &gt; 85k</v>
      </c>
    </row>
    <row r="10" spans="1:18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 $H10&gt;$Q$1, "Salary &gt; 85k", TRUE, "Salary Low")</f>
        <v>No Data</v>
      </c>
    </row>
    <row r="11" spans="1:18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 85k</v>
      </c>
      <c r="R11" t="str" cm="1">
        <f t="array" ref="R11">_xlfn.IFS($H11="", "No Data", $H11&gt;$Q$1, "Salary &gt; 85k", TRUE, "Salary Low")</f>
        <v>Salary &gt; 85k</v>
      </c>
    </row>
    <row r="12" spans="1:18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85k</v>
      </c>
      <c r="R12" t="str" cm="1">
        <f t="array" ref="R12">_xlfn.IFS($H12="", "No Data", $H12&gt;$Q$1, "Salary &gt; 85k", TRUE, "Salary Low")</f>
        <v>Salary &gt; 85k</v>
      </c>
    </row>
    <row r="13" spans="1:18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85k</v>
      </c>
      <c r="R13" t="str" cm="1">
        <f t="array" ref="R13">_xlfn.IFS($H13="", "No Data", $H13&gt;$Q$1, "Salary &gt; 85k", TRUE, "Salary Low")</f>
        <v>Salary &gt; 85k</v>
      </c>
    </row>
    <row r="14" spans="1:18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85k</v>
      </c>
      <c r="R14" t="str" cm="1">
        <f t="array" ref="R14">_xlfn.IFS($H14="", "No Data", $H14&gt;$Q$1, "Salary &gt; 85k", TRUE, "Salary Low")</f>
        <v>Salary &gt; 85k</v>
      </c>
    </row>
    <row r="15" spans="1:18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 $H15&gt;$Q$1, "Salary &gt; 85k", TRUE, "Salary Low")</f>
        <v>Salary Low</v>
      </c>
    </row>
    <row r="16" spans="1:18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85k</v>
      </c>
      <c r="R16" t="str" cm="1">
        <f t="array" ref="R16">_xlfn.IFS($H16="", "No Data", $H16&gt;$Q$1,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85k</v>
      </c>
      <c r="R17" t="str" cm="1">
        <f t="array" ref="R17">_xlfn.IFS($H17="", "No Data", $H17&gt;$Q$1,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>IF($A18=L$1, "Role Desired", "Not Desired")</f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 $H18&gt;$Q$1,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85k</v>
      </c>
      <c r="R19" t="str" cm="1">
        <f t="array" ref="R19">_xlfn.IFS($H19="", "No Data", $H19&gt;$Q$1,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 $H20&gt;$Q$1,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>AND($A21=$K$1, $A21=$L$1)</f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 85k</v>
      </c>
      <c r="R21" t="str" cm="1">
        <f t="array" ref="R21">_xlfn.IFS($H21="", "No Data", $H21&gt;$Q$1, "Salary &gt; 85k", TRUE, 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B31" sqref="B31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Jesus Miguel</cp:lastModifiedBy>
  <dcterms:created xsi:type="dcterms:W3CDTF">2024-07-16T20:11:02Z</dcterms:created>
  <dcterms:modified xsi:type="dcterms:W3CDTF">2026-01-30T11:39:58Z</dcterms:modified>
</cp:coreProperties>
</file>